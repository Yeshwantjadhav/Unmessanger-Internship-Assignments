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Unmessenger Internship data and links\Assignment_2 Data_Cleaning\"/>
    </mc:Choice>
  </mc:AlternateContent>
  <xr:revisionPtr revIDLastSave="0" documentId="13_ncr:1_{69062E5D-DE6F-466C-802F-DD057D60DDE2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Unmessenger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1" l="1"/>
  <c r="K15" i="1"/>
  <c r="K17" i="1"/>
  <c r="K18" i="1"/>
  <c r="K20" i="1"/>
  <c r="K21" i="1"/>
  <c r="K22" i="1"/>
  <c r="K23" i="1"/>
  <c r="K24" i="1"/>
  <c r="K25" i="1"/>
  <c r="K27" i="1"/>
  <c r="K29" i="1"/>
  <c r="K31" i="1"/>
  <c r="K32" i="1"/>
  <c r="K33" i="1"/>
  <c r="K35" i="1"/>
  <c r="K37" i="1"/>
  <c r="K39" i="1"/>
  <c r="K40" i="1"/>
  <c r="K42" i="1"/>
  <c r="K43" i="1"/>
  <c r="K45" i="1"/>
  <c r="K47" i="1"/>
  <c r="K49" i="1"/>
  <c r="K50" i="1"/>
  <c r="K52" i="1"/>
  <c r="K53" i="1"/>
  <c r="B17" i="1"/>
</calcChain>
</file>

<file path=xl/sharedStrings.xml><?xml version="1.0" encoding="utf-8"?>
<sst xmlns="http://schemas.openxmlformats.org/spreadsheetml/2006/main" count="249" uniqueCount="158">
  <si>
    <t>Id</t>
  </si>
  <si>
    <t>Age</t>
  </si>
  <si>
    <t>Gender</t>
  </si>
  <si>
    <t>Email</t>
  </si>
  <si>
    <t>Phone</t>
  </si>
  <si>
    <t>Address</t>
  </si>
  <si>
    <t>M</t>
  </si>
  <si>
    <t>rohit.sharma@gmail.com</t>
  </si>
  <si>
    <t>654 14th St, Jaipur, Rajasthan, India</t>
  </si>
  <si>
    <t>F</t>
  </si>
  <si>
    <t>deepika.singh@yahoo.com</t>
  </si>
  <si>
    <t>321 15th St, Chennai, Tamil Nadu, India</t>
  </si>
  <si>
    <t>vikas.joshi@gmail.com</t>
  </si>
  <si>
    <t>nisha.verma@hotmail.com</t>
  </si>
  <si>
    <t>789 16th St, Hyderabad, Telangana, India</t>
  </si>
  <si>
    <t>manoj.kumar@yahoo.com</t>
  </si>
  <si>
    <t>901 17th St, Pune, Maharashtra, India</t>
  </si>
  <si>
    <t>sanjay.gupta@gmail.com</t>
  </si>
  <si>
    <t>anjali.sharma@yahoo.com</t>
  </si>
  <si>
    <t>567 19th St, Bangalore, Karnataka, India</t>
  </si>
  <si>
    <t>akash.patel@hotmail.com</t>
  </si>
  <si>
    <t>789 20th St, Mumbai, Maharashtra, India</t>
  </si>
  <si>
    <t>preeti.singh@gmail.com</t>
  </si>
  <si>
    <t>321 21st St, Kolkata, West Bengal, India</t>
  </si>
  <si>
    <t>john.doe@gmail.com</t>
  </si>
  <si>
    <t>123 Main St, Bangalore, Karnataka, India</t>
  </si>
  <si>
    <t>jane.smith@hotmail.com</t>
  </si>
  <si>
    <t>456 Park Ave, Mumbai, Maharashtra, India</t>
  </si>
  <si>
    <t>amit.patel@gmail.com</t>
  </si>
  <si>
    <t>789 3rd St, Kolkata, West Bengal, India</t>
  </si>
  <si>
    <t>priya.sharma@yahoo.com</t>
  </si>
  <si>
    <t>12 4th St, New Delhi, Delhi, India</t>
  </si>
  <si>
    <t>jane.doe@gmail.com</t>
  </si>
  <si>
    <t>rakesh.kumar@yahoo.com</t>
  </si>
  <si>
    <t>345 5th St, Jaipur, Rajasthan, India</t>
  </si>
  <si>
    <t>aman.verma@gmail.com</t>
  </si>
  <si>
    <t>neha.gupta@hotmail.com</t>
  </si>
  <si>
    <t>901 7th St, Hyderabad, Telangana, India</t>
  </si>
  <si>
    <t>naveen.sharma@gmail.com</t>
  </si>
  <si>
    <t>234 8th St, Pune, Maharashtra, India</t>
  </si>
  <si>
    <t>vinita.kapoor@yahoo.com</t>
  </si>
  <si>
    <t>567 9th St, Ahmedabad, Gujarat, India</t>
  </si>
  <si>
    <t>rajeev.kumar@hotmail.com</t>
  </si>
  <si>
    <t>789 10th St, Bangalore, Karnataka, India</t>
  </si>
  <si>
    <t>swati.singh@gmail.com</t>
  </si>
  <si>
    <t>654 12th St, Kolkata, West Bengal, India</t>
  </si>
  <si>
    <t>kavita.sharma@yahoo.com</t>
  </si>
  <si>
    <t>manish.patel@hotmail.com</t>
  </si>
  <si>
    <t>987 13th St, New Delhi, Delhi, India</t>
  </si>
  <si>
    <t>priyanka.jain@yahoo.com</t>
  </si>
  <si>
    <t>ravi.kumar@gmail.com</t>
  </si>
  <si>
    <t>901 22nd St, Patna, Bihar, India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</si>
  <si>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</si>
  <si>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</si>
  <si>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</si>
  <si>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</si>
  <si>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</si>
  <si>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rajeev.sharma@yahoo.com</t>
  </si>
  <si>
    <t>789 25th St, Jaipur, Rajasthan, India</t>
  </si>
  <si>
    <t>sarika.patel@hotmail.com</t>
  </si>
  <si>
    <t>654 26th St, Chennai, Tamil Nadu, India</t>
  </si>
  <si>
    <t>vinay.singh@gmail.com</t>
  </si>
  <si>
    <t>321 27th St, Hyderabad, Telangana, India</t>
  </si>
  <si>
    <t>priya.gupta@yahoo.com</t>
  </si>
  <si>
    <t>901 28th St, Pune, Maharashtra, India</t>
  </si>
  <si>
    <t>sushant.patel@hotmail.com</t>
  </si>
  <si>
    <t>567 29th St, Ahmedabad, Gujarat, India</t>
  </si>
  <si>
    <t>payal.sharma@gmail.com</t>
  </si>
  <si>
    <t>234 30th St, Bangalore, Karnataka, India</t>
  </si>
  <si>
    <t>mohit.verma@yahoo.com</t>
  </si>
  <si>
    <t>789 31st St, Mumbai, Maharashtra, India</t>
  </si>
  <si>
    <t>kavita.singh@hotmail.com</t>
  </si>
  <si>
    <t>901 32nd St, Kolkata, West Bengal, India</t>
  </si>
  <si>
    <t>ankit.patel@gmail.com</t>
  </si>
  <si>
    <t>321 33rd St, Patna, Bihar, India</t>
  </si>
  <si>
    <t>pooja.mishra@yahoo.com</t>
  </si>
  <si>
    <t>234 34th St, Bhopal, Madhya Pradesh, India</t>
  </si>
  <si>
    <t>mohan.kumar@gmail.com</t>
  </si>
  <si>
    <t>567 35th St, Lucknow, Uttar Pradesh, India</t>
  </si>
  <si>
    <t>anjali.gupta@hotmail.com</t>
  </si>
  <si>
    <t>654 36th St, Jaipur, Rajasthan, India</t>
  </si>
  <si>
    <t>mukesh.sharma@yahoo.com</t>
  </si>
  <si>
    <t>789 37th St, Chennai, Tamil Nadu, India</t>
  </si>
  <si>
    <t>arjun.singh@gmail.com</t>
  </si>
  <si>
    <t>divya.patel@yahoo.com</t>
  </si>
  <si>
    <t>567 38th St, Hyderabad, Telangana, India</t>
  </si>
  <si>
    <t>gaurav.kumar@gmail.com</t>
  </si>
  <si>
    <t>234 39th St, Pune, Maharashtra, India</t>
  </si>
  <si>
    <t>aditi.shah@hotmail.com</t>
  </si>
  <si>
    <t>901 40th St, Ahmedabad, Gujarat, India</t>
  </si>
  <si>
    <t>sandeep.singh@yahoo.com</t>
  </si>
  <si>
    <t>321 41st St, Bangalore, Karnataka, India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</si>
  <si>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</si>
  <si>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</si>
  <si>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</si>
  <si>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</si>
  <si>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</si>
  <si>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</si>
  <si>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</si>
  <si>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Department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</si>
  <si>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</si>
  <si>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</si>
  <si>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</si>
  <si>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</si>
  <si>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</si>
  <si>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</si>
  <si>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</si>
  <si>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91-6666666666</t>
  </si>
  <si>
    <t>IT Devlopement</t>
  </si>
  <si>
    <t>Operation</t>
  </si>
  <si>
    <t>Address Not Available</t>
  </si>
  <si>
    <t>Name</t>
  </si>
  <si>
    <t>John Doe</t>
  </si>
  <si>
    <t>Jane Smith</t>
  </si>
  <si>
    <t>Amit Patel</t>
  </si>
  <si>
    <t>Priya Sharma</t>
  </si>
  <si>
    <t>Jane Doe</t>
  </si>
  <si>
    <t>Rakesh Kumar</t>
  </si>
  <si>
    <t>Aman Verma</t>
  </si>
  <si>
    <t>Neha Gupta</t>
  </si>
  <si>
    <t>Naveen Sharma</t>
  </si>
  <si>
    <t>Vinita Kapoor</t>
  </si>
  <si>
    <t>Rajeev Kumar</t>
  </si>
  <si>
    <t>Swati Singh</t>
  </si>
  <si>
    <t>Kavita Sharma</t>
  </si>
  <si>
    <t>Manish Patel</t>
  </si>
  <si>
    <t>Priyanka Jain</t>
  </si>
  <si>
    <t>Rohit Sharma</t>
  </si>
  <si>
    <t>Deepika Singh</t>
  </si>
  <si>
    <t>Vikas Joshi</t>
  </si>
  <si>
    <t>Nisha Verma</t>
  </si>
  <si>
    <t>Manoj Kumar</t>
  </si>
  <si>
    <t>Sanjay Gupta</t>
  </si>
  <si>
    <t>Anjali Sharma</t>
  </si>
  <si>
    <t>Akash Patel</t>
  </si>
  <si>
    <t>Preeti Singh</t>
  </si>
  <si>
    <t>Ravi Kumar</t>
  </si>
  <si>
    <t>Swati Mishra</t>
  </si>
  <si>
    <t>Ankit Singh</t>
  </si>
  <si>
    <t>Rajeev Sharma</t>
  </si>
  <si>
    <t>Sarika Patel</t>
  </si>
  <si>
    <t>Vinay Singh</t>
  </si>
  <si>
    <t>Priya Gupta</t>
  </si>
  <si>
    <t>Sushant Patel</t>
  </si>
  <si>
    <t>Payal Sharma</t>
  </si>
  <si>
    <t>Mohit Verma</t>
  </si>
  <si>
    <t>Kavita Singh</t>
  </si>
  <si>
    <t>Ankit Patel</t>
  </si>
  <si>
    <t>Pooja Mishra</t>
  </si>
  <si>
    <t>Mohan Kumar</t>
  </si>
  <si>
    <t>Anjali Gupta</t>
  </si>
  <si>
    <t>Mukesh Sharma</t>
  </si>
  <si>
    <t>Arjun Singh</t>
  </si>
  <si>
    <t>Divya Patel</t>
  </si>
  <si>
    <t>Gaurav Kumar</t>
  </si>
  <si>
    <t>Aditi Shah</t>
  </si>
  <si>
    <t>Sandeep Singh</t>
  </si>
  <si>
    <t>Shalini Sharma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</si>
</sst>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\9\1\-##########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165" fontId="1" fillId="2" borderId="0" xfId="0" applyNumberFormat="1" applyFont="1" applyFill="1" applyAlignment="1">
      <alignment horizontal="right"/>
    </xf>
    <xf numFmtId="165" fontId="0" fillId="0" borderId="0" xfId="0" applyNumberFormat="1" applyAlignment="1">
      <alignment horizontal="right"/>
    </xf>
  </cellXfs>
  <cellStyles count="1">
    <cellStyle name="Normal" xfId="0" builtinId="0"/>
  </cellStyles>
  <dxfs count="12">
    <dxf>
      <font>
        <strike val="0"/>
        <outline val="0"/>
        <shadow val="0"/>
        <u val="none"/>
        <vertAlign val="baseline"/>
        <sz val="11"/>
        <color theme="1"/>
      </font>
      <numFmt numFmtId="165" formatCode="\9\1\-##########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4" totalsRowShown="0" headerRowDxfId="11" dataDxfId="10">
  <tableColumns count="9">
    <tableColumn id="1" xr3:uid="{0F186AC9-7116-4750-8350-32E39657BDEF}" name="Id" dataDxfId="9"/>
    <tableColumn id="11" xr3:uid="{D4E17AE7-633B-4EAE-AD7D-18F60FFFE37A}" name="Name" dataDxfId="8"/>
    <tableColumn id="3" xr3:uid="{D20B21E4-141B-4F80-B509-FFFDBDDDD7F4}" name="Age" dataDxfId="7"/>
    <tableColumn id="4" xr3:uid="{988050FD-7A13-4567-B7F1-B83DFF6C50D6}" name="Gender" dataDxfId="6"/>
    <tableColumn id="5" xr3:uid="{71DD8E56-AB70-41BA-BE06-62EA46C80DEC}" name="Department" dataDxfId="5"/>
    <tableColumn id="6" xr3:uid="{C20650CA-3DDE-4C63-83CA-462380F46BB4}" name="Email" dataDxfId="2"/>
    <tableColumn id="7" xr3:uid="{9F3F4B7E-0B29-4F47-944B-C89BC5596DA2}" name="Phone" dataDxfId="0"/>
    <tableColumn id="8" xr3:uid="{9894F713-829B-4BE3-B5D2-22F23DA72823}" name="Address" dataDxfId="1"/>
    <tableColumn id="9" xr3:uid="{69CDA7D3-FED4-49AB-9173-918B9E817F84}" name="Salary" dataDxfId="4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B7:M54"/>
  <sheetViews>
    <sheetView tabSelected="1" workbookViewId="0">
      <selection activeCell="N5" sqref="N5"/>
    </sheetView>
  </sheetViews>
  <sheetFormatPr defaultRowHeight="14.4" x14ac:dyDescent="0.3"/>
  <cols>
    <col min="1" max="1" width="2.21875" customWidth="1"/>
    <col min="2" max="2" width="2.5546875" hidden="1" customWidth="1"/>
    <col min="5" max="5" width="8.21875" customWidth="1"/>
    <col min="6" max="6" width="14.77734375" customWidth="1"/>
    <col min="7" max="7" width="12" customWidth="1"/>
    <col min="8" max="8" width="9" customWidth="1"/>
    <col min="9" max="9" width="23.77734375" customWidth="1"/>
    <col min="10" max="10" width="25.33203125" customWidth="1"/>
    <col min="11" max="11" width="18.44140625" style="3" customWidth="1"/>
    <col min="12" max="12" width="25.44140625" customWidth="1"/>
    <col min="13" max="13" width="12.44140625" customWidth="1"/>
  </cols>
  <sheetData>
    <row r="7" spans="5:13" x14ac:dyDescent="0.3">
      <c r="E7" s="1" t="s">
        <v>0</v>
      </c>
      <c r="F7" s="1" t="s">
        <v>111</v>
      </c>
      <c r="G7" s="1" t="s">
        <v>1</v>
      </c>
      <c r="H7" s="1" t="s">
        <v>2</v>
      </c>
      <c r="I7" s="1" t="s">
        <v>99</v>
      </c>
      <c r="J7" s="1" t="s">
        <v>3</v>
      </c>
      <c r="K7" s="2" t="s">
        <v>4</v>
      </c>
      <c r="L7" s="1" t="s">
        <v>5</v>
      </c>
      <c r="M7" s="1" t="s">
        <v>94</v>
      </c>
    </row>
    <row r="8" spans="5:13" x14ac:dyDescent="0.3">
      <c r="E8">
        <v>1</v>
      </c>
      <c r="F8" t="s">
        <v>112</v>
      </c>
      <c r="G8">
        <v>32</v>
      </c>
      <c r="H8" t="s">
        <v>6</v>
      </c>
      <c r="I8" t="s">
        <v>100</v>
      </c>
      <c r="J8" t="s">
        <v>24</v>
      </c>
      <c r="K8" s="3" t="s">
        <v>95</v>
      </c>
      <c r="L8" t="s">
        <v>25</v>
      </c>
      <c r="M8">
        <v>4553</v>
      </c>
    </row>
    <row r="9" spans="5:13" x14ac:dyDescent="0.3">
      <c r="E9">
        <v>2</v>
      </c>
      <c r="F9" t="s">
        <v>113</v>
      </c>
      <c r="G9">
        <v>28</v>
      </c>
      <c r="H9" t="s">
        <v>9</v>
      </c>
      <c r="I9" t="s">
        <v>101</v>
      </c>
      <c r="J9" t="s">
        <v>26</v>
      </c>
      <c r="K9" s="3" t="s">
        <v>96</v>
      </c>
      <c r="L9" t="s">
        <v>27</v>
      </c>
      <c r="M9">
        <v>31169</v>
      </c>
    </row>
    <row r="10" spans="5:13" x14ac:dyDescent="0.3">
      <c r="E10">
        <v>3</v>
      </c>
      <c r="F10" t="s">
        <v>114</v>
      </c>
      <c r="G10">
        <v>27</v>
      </c>
      <c r="H10" t="s">
        <v>6</v>
      </c>
      <c r="I10" t="s">
        <v>108</v>
      </c>
      <c r="J10" t="s">
        <v>28</v>
      </c>
      <c r="K10" s="3" t="s">
        <v>97</v>
      </c>
      <c r="L10" t="s">
        <v>29</v>
      </c>
      <c r="M10">
        <v>11116</v>
      </c>
    </row>
    <row r="11" spans="5:13" x14ac:dyDescent="0.3">
      <c r="E11">
        <v>4</v>
      </c>
      <c r="F11" t="s">
        <v>115</v>
      </c>
      <c r="G11">
        <v>33</v>
      </c>
      <c r="H11" t="s">
        <v>9</v>
      </c>
      <c r="I11" t="s">
        <v>102</v>
      </c>
      <c r="J11" t="s">
        <v>30</v>
      </c>
      <c r="K11" s="3" t="s">
        <v>98</v>
      </c>
      <c r="L11" t="s">
        <v>31</v>
      </c>
      <c r="M11">
        <v>33457</v>
      </c>
    </row>
    <row r="12" spans="5:13" x14ac:dyDescent="0.3">
      <c r="E12">
        <v>5</v>
      </c>
      <c r="F12" t="s">
        <v>116</v>
      </c>
      <c r="G12">
        <v>29</v>
      </c>
      <c r="H12" t="s">
        <v>9</v>
      </c>
      <c r="I12" t="s">
        <v>102</v>
      </c>
      <c r="J12" t="s">
        <v>32</v>
      </c>
      <c r="L12" t="s">
        <v>110</v>
      </c>
      <c r="M12">
        <v>21918</v>
      </c>
    </row>
    <row r="13" spans="5:13" x14ac:dyDescent="0.3">
      <c r="E13">
        <v>6</v>
      </c>
      <c r="F13" t="s">
        <v>117</v>
      </c>
      <c r="G13">
        <v>34</v>
      </c>
      <c r="H13" t="s">
        <v>6</v>
      </c>
      <c r="I13" t="s">
        <v>106</v>
      </c>
      <c r="J13" t="s">
        <v>33</v>
      </c>
      <c r="L13" t="s">
        <v>34</v>
      </c>
      <c r="M13">
        <v>33418</v>
      </c>
    </row>
    <row r="14" spans="5:13" x14ac:dyDescent="0.3">
      <c r="E14">
        <v>8</v>
      </c>
      <c r="F14" t="s">
        <v>118</v>
      </c>
      <c r="G14">
        <v>31</v>
      </c>
      <c r="H14" t="s">
        <v>6</v>
      </c>
      <c r="I14" t="s">
        <v>102</v>
      </c>
      <c r="J14" t="s">
        <v>35</v>
      </c>
      <c r="K14" s="3">
        <f>91-8888888888</f>
        <v>-8888888797</v>
      </c>
      <c r="L14" t="s">
        <v>110</v>
      </c>
      <c r="M14">
        <v>45450</v>
      </c>
    </row>
    <row r="15" spans="5:13" x14ac:dyDescent="0.3">
      <c r="E15">
        <v>9</v>
      </c>
      <c r="F15" t="s">
        <v>119</v>
      </c>
      <c r="G15">
        <v>27</v>
      </c>
      <c r="H15" t="s">
        <v>9</v>
      </c>
      <c r="I15" t="s">
        <v>102</v>
      </c>
      <c r="J15" t="s">
        <v>36</v>
      </c>
      <c r="K15" s="3">
        <f>91-7777777777</f>
        <v>-7777777686</v>
      </c>
      <c r="L15" t="s">
        <v>37</v>
      </c>
      <c r="M15">
        <v>49938</v>
      </c>
    </row>
    <row r="16" spans="5:13" x14ac:dyDescent="0.3">
      <c r="E16">
        <v>10</v>
      </c>
      <c r="F16" t="s">
        <v>120</v>
      </c>
      <c r="G16">
        <v>35</v>
      </c>
      <c r="H16" t="s">
        <v>6</v>
      </c>
      <c r="I16" t="s">
        <v>100</v>
      </c>
      <c r="J16" t="s">
        <v>38</v>
      </c>
      <c r="L16" t="s">
        <v>39</v>
      </c>
      <c r="M16">
        <v>9818</v>
      </c>
    </row>
    <row r="17" spans="2:13" x14ac:dyDescent="0.3">
      <c r="B17">
        <f>AVERAGE(G8:G54)</f>
        <v>29.723404255319149</v>
      </c>
      <c r="E17">
        <v>11</v>
      </c>
      <c r="F17" t="s">
        <v>121</v>
      </c>
      <c r="G17">
        <v>29.5</v>
      </c>
      <c r="H17" t="s">
        <v>9</v>
      </c>
      <c r="I17" t="s">
        <v>101</v>
      </c>
      <c r="J17" t="s">
        <v>40</v>
      </c>
      <c r="K17" s="3">
        <f>91-6666666666</f>
        <v>-6666666575</v>
      </c>
      <c r="L17" t="s">
        <v>41</v>
      </c>
      <c r="M17">
        <v>41836</v>
      </c>
    </row>
    <row r="18" spans="2:13" x14ac:dyDescent="0.3">
      <c r="E18">
        <v>12</v>
      </c>
      <c r="F18" t="s">
        <v>122</v>
      </c>
      <c r="G18">
        <v>29</v>
      </c>
      <c r="H18" t="s">
        <v>6</v>
      </c>
      <c r="I18" t="s">
        <v>101</v>
      </c>
      <c r="J18" t="s">
        <v>42</v>
      </c>
      <c r="K18" s="3">
        <f>91-5555555555</f>
        <v>-5555555464</v>
      </c>
      <c r="L18" t="s">
        <v>43</v>
      </c>
      <c r="M18">
        <v>11901</v>
      </c>
    </row>
    <row r="19" spans="2:13" x14ac:dyDescent="0.3">
      <c r="E19">
        <v>14</v>
      </c>
      <c r="F19" t="s">
        <v>123</v>
      </c>
      <c r="G19">
        <v>28</v>
      </c>
      <c r="H19" t="s">
        <v>9</v>
      </c>
      <c r="I19" t="s">
        <v>103</v>
      </c>
      <c r="J19" t="s">
        <v>44</v>
      </c>
      <c r="L19" t="s">
        <v>45</v>
      </c>
      <c r="M19">
        <v>21978</v>
      </c>
    </row>
    <row r="20" spans="2:13" x14ac:dyDescent="0.3">
      <c r="E20">
        <v>15</v>
      </c>
      <c r="F20" t="s">
        <v>124</v>
      </c>
      <c r="G20">
        <v>30</v>
      </c>
      <c r="H20" t="s">
        <v>9</v>
      </c>
      <c r="I20" t="s">
        <v>104</v>
      </c>
      <c r="J20" t="s">
        <v>46</v>
      </c>
      <c r="K20" s="3">
        <f>91-8888888888</f>
        <v>-8888888797</v>
      </c>
      <c r="L20" t="s">
        <v>110</v>
      </c>
      <c r="M20">
        <v>49400</v>
      </c>
    </row>
    <row r="21" spans="2:13" x14ac:dyDescent="0.3">
      <c r="E21">
        <v>16</v>
      </c>
      <c r="F21" t="s">
        <v>125</v>
      </c>
      <c r="G21">
        <v>32</v>
      </c>
      <c r="H21" t="s">
        <v>6</v>
      </c>
      <c r="I21" t="s">
        <v>105</v>
      </c>
      <c r="J21" t="s">
        <v>47</v>
      </c>
      <c r="K21" s="3">
        <f>91-1234567890</f>
        <v>-1234567799</v>
      </c>
      <c r="L21" t="s">
        <v>48</v>
      </c>
      <c r="M21">
        <v>28476</v>
      </c>
    </row>
    <row r="22" spans="2:13" x14ac:dyDescent="0.3">
      <c r="E22">
        <v>17</v>
      </c>
      <c r="F22" t="s">
        <v>126</v>
      </c>
      <c r="G22">
        <v>26</v>
      </c>
      <c r="H22" t="s">
        <v>9</v>
      </c>
      <c r="I22" t="s">
        <v>106</v>
      </c>
      <c r="J22" t="s">
        <v>49</v>
      </c>
      <c r="K22" s="3">
        <f>91-8765432109</f>
        <v>-8765432018</v>
      </c>
      <c r="L22" t="s">
        <v>110</v>
      </c>
      <c r="M22">
        <v>40088</v>
      </c>
    </row>
    <row r="23" spans="2:13" x14ac:dyDescent="0.3">
      <c r="E23">
        <v>18</v>
      </c>
      <c r="F23" t="s">
        <v>127</v>
      </c>
      <c r="G23">
        <v>28</v>
      </c>
      <c r="H23" t="s">
        <v>6</v>
      </c>
      <c r="I23" t="s">
        <v>106</v>
      </c>
      <c r="J23" t="s">
        <v>7</v>
      </c>
      <c r="K23" s="3">
        <f>91-9876543210</f>
        <v>-9876543119</v>
      </c>
      <c r="L23" t="s">
        <v>8</v>
      </c>
      <c r="M23">
        <v>2949</v>
      </c>
    </row>
    <row r="24" spans="2:13" x14ac:dyDescent="0.3">
      <c r="E24">
        <v>19</v>
      </c>
      <c r="F24" t="s">
        <v>128</v>
      </c>
      <c r="G24">
        <v>30</v>
      </c>
      <c r="H24" t="s">
        <v>9</v>
      </c>
      <c r="I24" t="s">
        <v>106</v>
      </c>
      <c r="J24" t="s">
        <v>10</v>
      </c>
      <c r="K24" s="3">
        <f>91-5555555555</f>
        <v>-5555555464</v>
      </c>
      <c r="L24" t="s">
        <v>11</v>
      </c>
      <c r="M24">
        <v>3337</v>
      </c>
    </row>
    <row r="25" spans="2:13" x14ac:dyDescent="0.3">
      <c r="E25">
        <v>20</v>
      </c>
      <c r="F25" t="s">
        <v>129</v>
      </c>
      <c r="G25">
        <v>32</v>
      </c>
      <c r="H25" t="s">
        <v>6</v>
      </c>
      <c r="I25" t="s">
        <v>104</v>
      </c>
      <c r="J25" t="s">
        <v>12</v>
      </c>
      <c r="K25" s="3">
        <f>91-9999999999</f>
        <v>-9999999908</v>
      </c>
      <c r="L25" t="s">
        <v>110</v>
      </c>
      <c r="M25">
        <v>2857</v>
      </c>
    </row>
    <row r="26" spans="2:13" x14ac:dyDescent="0.3">
      <c r="E26">
        <v>21</v>
      </c>
      <c r="F26" t="s">
        <v>130</v>
      </c>
      <c r="G26">
        <v>26</v>
      </c>
      <c r="H26" t="s">
        <v>9</v>
      </c>
      <c r="I26" t="s">
        <v>105</v>
      </c>
      <c r="J26" t="s">
        <v>13</v>
      </c>
      <c r="L26" t="s">
        <v>14</v>
      </c>
      <c r="M26">
        <v>35969</v>
      </c>
    </row>
    <row r="27" spans="2:13" x14ac:dyDescent="0.3">
      <c r="E27">
        <v>22</v>
      </c>
      <c r="F27" t="s">
        <v>131</v>
      </c>
      <c r="G27">
        <v>33</v>
      </c>
      <c r="H27" t="s">
        <v>6</v>
      </c>
      <c r="I27" t="s">
        <v>106</v>
      </c>
      <c r="J27" t="s">
        <v>15</v>
      </c>
      <c r="K27" s="3">
        <f>91-8888888888</f>
        <v>-8888888797</v>
      </c>
      <c r="L27" t="s">
        <v>16</v>
      </c>
      <c r="M27">
        <v>49681</v>
      </c>
    </row>
    <row r="28" spans="2:13" x14ac:dyDescent="0.3">
      <c r="E28">
        <v>24</v>
      </c>
      <c r="F28" t="s">
        <v>132</v>
      </c>
      <c r="G28">
        <v>29</v>
      </c>
      <c r="H28" t="s">
        <v>6</v>
      </c>
      <c r="I28" t="s">
        <v>100</v>
      </c>
      <c r="J28" t="s">
        <v>17</v>
      </c>
      <c r="K28" s="3" t="s">
        <v>107</v>
      </c>
      <c r="L28" t="s">
        <v>110</v>
      </c>
      <c r="M28">
        <v>15853</v>
      </c>
    </row>
    <row r="29" spans="2:13" x14ac:dyDescent="0.3">
      <c r="E29">
        <v>25</v>
      </c>
      <c r="F29" t="s">
        <v>133</v>
      </c>
      <c r="G29">
        <v>29.5</v>
      </c>
      <c r="H29" t="s">
        <v>9</v>
      </c>
      <c r="I29" t="s">
        <v>101</v>
      </c>
      <c r="J29" t="s">
        <v>18</v>
      </c>
      <c r="K29" s="3">
        <f>91-5555555555</f>
        <v>-5555555464</v>
      </c>
      <c r="L29" t="s">
        <v>19</v>
      </c>
      <c r="M29">
        <v>6926</v>
      </c>
    </row>
    <row r="30" spans="2:13" x14ac:dyDescent="0.3">
      <c r="E30">
        <v>26</v>
      </c>
      <c r="F30" t="s">
        <v>134</v>
      </c>
      <c r="G30">
        <v>31</v>
      </c>
      <c r="H30" t="s">
        <v>6</v>
      </c>
      <c r="I30" t="s">
        <v>104</v>
      </c>
      <c r="J30" t="s">
        <v>20</v>
      </c>
      <c r="L30" t="s">
        <v>21</v>
      </c>
      <c r="M30">
        <v>45678</v>
      </c>
    </row>
    <row r="31" spans="2:13" x14ac:dyDescent="0.3">
      <c r="E31">
        <v>27</v>
      </c>
      <c r="F31" t="s">
        <v>135</v>
      </c>
      <c r="G31">
        <v>28</v>
      </c>
      <c r="H31" t="s">
        <v>9</v>
      </c>
      <c r="I31" t="s">
        <v>105</v>
      </c>
      <c r="J31" t="s">
        <v>22</v>
      </c>
      <c r="K31" s="3">
        <f>91-7777777777</f>
        <v>-7777777686</v>
      </c>
      <c r="L31" t="s">
        <v>23</v>
      </c>
      <c r="M31">
        <v>8022</v>
      </c>
    </row>
    <row r="32" spans="2:13" x14ac:dyDescent="0.3">
      <c r="E32">
        <v>28</v>
      </c>
      <c r="F32" t="s">
        <v>136</v>
      </c>
      <c r="G32">
        <v>34</v>
      </c>
      <c r="H32" t="s">
        <v>6</v>
      </c>
      <c r="I32" t="s">
        <v>106</v>
      </c>
      <c r="J32" t="s">
        <v>50</v>
      </c>
      <c r="K32" s="3">
        <f>91-8888888888</f>
        <v>-8888888797</v>
      </c>
      <c r="L32" t="s">
        <v>51</v>
      </c>
      <c r="M32">
        <v>3484</v>
      </c>
    </row>
    <row r="33" spans="5:13" x14ac:dyDescent="0.3">
      <c r="E33">
        <v>29</v>
      </c>
      <c r="F33" t="s">
        <v>137</v>
      </c>
      <c r="G33">
        <v>26</v>
      </c>
      <c r="H33" t="s">
        <v>9</v>
      </c>
      <c r="I33" t="s">
        <v>108</v>
      </c>
      <c r="J33" t="s">
        <v>52</v>
      </c>
      <c r="K33" s="3">
        <f>91-7777777777</f>
        <v>-7777777686</v>
      </c>
      <c r="L33" t="s">
        <v>53</v>
      </c>
      <c r="M33">
        <v>11342</v>
      </c>
    </row>
    <row r="34" spans="5:13" x14ac:dyDescent="0.3">
      <c r="E34">
        <v>30</v>
      </c>
      <c r="F34" t="s">
        <v>138</v>
      </c>
      <c r="G34">
        <v>29</v>
      </c>
      <c r="H34" t="s">
        <v>6</v>
      </c>
      <c r="I34" t="s">
        <v>102</v>
      </c>
      <c r="J34" t="s">
        <v>54</v>
      </c>
      <c r="L34" t="s">
        <v>55</v>
      </c>
      <c r="M34">
        <v>40940</v>
      </c>
    </row>
    <row r="35" spans="5:13" x14ac:dyDescent="0.3">
      <c r="E35">
        <v>31</v>
      </c>
      <c r="F35" t="s">
        <v>119</v>
      </c>
      <c r="G35">
        <v>27</v>
      </c>
      <c r="H35" t="s">
        <v>9</v>
      </c>
      <c r="I35" t="s">
        <v>102</v>
      </c>
      <c r="J35" t="s">
        <v>56</v>
      </c>
      <c r="K35" s="3">
        <f>91-5555555555</f>
        <v>-5555555464</v>
      </c>
      <c r="L35" t="s">
        <v>110</v>
      </c>
      <c r="M35">
        <v>41841</v>
      </c>
    </row>
    <row r="36" spans="5:13" x14ac:dyDescent="0.3">
      <c r="E36">
        <v>32</v>
      </c>
      <c r="F36" t="s">
        <v>139</v>
      </c>
      <c r="G36">
        <v>32</v>
      </c>
      <c r="H36" t="s">
        <v>6</v>
      </c>
      <c r="I36" t="s">
        <v>104</v>
      </c>
      <c r="J36" t="s">
        <v>57</v>
      </c>
      <c r="L36" t="s">
        <v>58</v>
      </c>
      <c r="M36">
        <v>39835</v>
      </c>
    </row>
    <row r="37" spans="5:13" x14ac:dyDescent="0.3">
      <c r="E37">
        <v>33</v>
      </c>
      <c r="F37" t="s">
        <v>140</v>
      </c>
      <c r="G37">
        <v>33</v>
      </c>
      <c r="H37" t="s">
        <v>9</v>
      </c>
      <c r="I37" t="s">
        <v>105</v>
      </c>
      <c r="J37" t="s">
        <v>59</v>
      </c>
      <c r="K37" s="3">
        <f>91-6666666666</f>
        <v>-6666666575</v>
      </c>
      <c r="L37" t="s">
        <v>60</v>
      </c>
      <c r="M37">
        <v>9577</v>
      </c>
    </row>
    <row r="38" spans="5:13" x14ac:dyDescent="0.3">
      <c r="E38">
        <v>34</v>
      </c>
      <c r="F38" t="s">
        <v>141</v>
      </c>
      <c r="G38">
        <v>30</v>
      </c>
      <c r="H38" t="s">
        <v>6</v>
      </c>
      <c r="I38" t="s">
        <v>106</v>
      </c>
      <c r="J38" t="s">
        <v>61</v>
      </c>
      <c r="L38" t="s">
        <v>62</v>
      </c>
      <c r="M38">
        <v>29480</v>
      </c>
    </row>
    <row r="39" spans="5:13" x14ac:dyDescent="0.3">
      <c r="E39">
        <v>35</v>
      </c>
      <c r="F39" t="s">
        <v>142</v>
      </c>
      <c r="G39">
        <v>29.5</v>
      </c>
      <c r="H39" t="s">
        <v>9</v>
      </c>
      <c r="I39" t="s">
        <v>108</v>
      </c>
      <c r="J39" t="s">
        <v>63</v>
      </c>
      <c r="K39" s="3">
        <f>91-5555555555</f>
        <v>-5555555464</v>
      </c>
      <c r="L39" t="s">
        <v>64</v>
      </c>
      <c r="M39">
        <v>14254</v>
      </c>
    </row>
    <row r="40" spans="5:13" x14ac:dyDescent="0.3">
      <c r="E40">
        <v>36</v>
      </c>
      <c r="F40" t="s">
        <v>143</v>
      </c>
      <c r="G40">
        <v>29</v>
      </c>
      <c r="H40" t="s">
        <v>6</v>
      </c>
      <c r="I40" t="s">
        <v>102</v>
      </c>
      <c r="J40" t="s">
        <v>65</v>
      </c>
      <c r="K40" s="3">
        <f>91-7777777777</f>
        <v>-7777777686</v>
      </c>
      <c r="L40" t="s">
        <v>66</v>
      </c>
      <c r="M40">
        <v>37358</v>
      </c>
    </row>
    <row r="41" spans="5:13" x14ac:dyDescent="0.3">
      <c r="E41">
        <v>37</v>
      </c>
      <c r="F41" t="s">
        <v>144</v>
      </c>
      <c r="G41">
        <v>31</v>
      </c>
      <c r="H41" t="s">
        <v>9</v>
      </c>
      <c r="I41" t="s">
        <v>102</v>
      </c>
      <c r="J41" t="s">
        <v>67</v>
      </c>
      <c r="L41" t="s">
        <v>68</v>
      </c>
      <c r="M41">
        <v>48367</v>
      </c>
    </row>
    <row r="42" spans="5:13" x14ac:dyDescent="0.3">
      <c r="E42">
        <v>38</v>
      </c>
      <c r="F42" t="s">
        <v>145</v>
      </c>
      <c r="G42">
        <v>28</v>
      </c>
      <c r="H42" t="s">
        <v>6</v>
      </c>
      <c r="I42" t="s">
        <v>103</v>
      </c>
      <c r="J42" t="s">
        <v>69</v>
      </c>
      <c r="K42" s="3">
        <f>91-8888888888</f>
        <v>-8888888797</v>
      </c>
      <c r="L42" t="s">
        <v>70</v>
      </c>
      <c r="M42">
        <v>37473</v>
      </c>
    </row>
    <row r="43" spans="5:13" x14ac:dyDescent="0.3">
      <c r="E43">
        <v>39</v>
      </c>
      <c r="F43" t="s">
        <v>146</v>
      </c>
      <c r="G43">
        <v>33</v>
      </c>
      <c r="H43" t="s">
        <v>9</v>
      </c>
      <c r="I43" t="s">
        <v>103</v>
      </c>
      <c r="J43" t="s">
        <v>71</v>
      </c>
      <c r="K43" s="3">
        <f>91-9999999999</f>
        <v>-9999999908</v>
      </c>
      <c r="L43" t="s">
        <v>72</v>
      </c>
      <c r="M43">
        <v>30628</v>
      </c>
    </row>
    <row r="44" spans="5:13" x14ac:dyDescent="0.3">
      <c r="E44">
        <v>40</v>
      </c>
      <c r="F44" t="s">
        <v>147</v>
      </c>
      <c r="G44">
        <v>30</v>
      </c>
      <c r="H44" t="s">
        <v>6</v>
      </c>
      <c r="I44" t="s">
        <v>109</v>
      </c>
      <c r="J44" t="s">
        <v>73</v>
      </c>
      <c r="L44" t="s">
        <v>74</v>
      </c>
      <c r="M44">
        <v>22018</v>
      </c>
    </row>
    <row r="45" spans="5:13" x14ac:dyDescent="0.3">
      <c r="E45">
        <v>41</v>
      </c>
      <c r="F45" t="s">
        <v>148</v>
      </c>
      <c r="G45">
        <v>27</v>
      </c>
      <c r="H45" t="s">
        <v>9</v>
      </c>
      <c r="I45" t="s">
        <v>106</v>
      </c>
      <c r="J45" t="s">
        <v>75</v>
      </c>
      <c r="K45" s="3">
        <f>91-7777777777</f>
        <v>-7777777686</v>
      </c>
      <c r="L45" t="s">
        <v>76</v>
      </c>
      <c r="M45">
        <v>35747</v>
      </c>
    </row>
    <row r="46" spans="5:13" x14ac:dyDescent="0.3">
      <c r="E46">
        <v>42</v>
      </c>
      <c r="F46" t="s">
        <v>149</v>
      </c>
      <c r="G46">
        <v>29</v>
      </c>
      <c r="H46" t="s">
        <v>6</v>
      </c>
      <c r="I46" t="s">
        <v>102</v>
      </c>
      <c r="J46" t="s">
        <v>77</v>
      </c>
      <c r="L46" t="s">
        <v>78</v>
      </c>
      <c r="M46">
        <v>32258</v>
      </c>
    </row>
    <row r="47" spans="5:13" x14ac:dyDescent="0.3">
      <c r="E47">
        <v>43</v>
      </c>
      <c r="F47" t="s">
        <v>150</v>
      </c>
      <c r="G47">
        <v>26</v>
      </c>
      <c r="H47" t="s">
        <v>9</v>
      </c>
      <c r="I47" t="s">
        <v>104</v>
      </c>
      <c r="J47" t="s">
        <v>79</v>
      </c>
      <c r="K47" s="3">
        <f>91-5555555555</f>
        <v>-5555555464</v>
      </c>
      <c r="L47" t="s">
        <v>80</v>
      </c>
      <c r="M47">
        <v>31047</v>
      </c>
    </row>
    <row r="48" spans="5:13" x14ac:dyDescent="0.3">
      <c r="E48">
        <v>44</v>
      </c>
      <c r="F48" t="s">
        <v>151</v>
      </c>
      <c r="G48">
        <v>28</v>
      </c>
      <c r="H48" t="s">
        <v>6</v>
      </c>
      <c r="I48" t="s">
        <v>105</v>
      </c>
      <c r="J48" t="s">
        <v>81</v>
      </c>
      <c r="L48" t="s">
        <v>82</v>
      </c>
      <c r="M48">
        <v>31064</v>
      </c>
    </row>
    <row r="49" spans="5:13" x14ac:dyDescent="0.3">
      <c r="E49">
        <v>45</v>
      </c>
      <c r="F49" t="s">
        <v>152</v>
      </c>
      <c r="G49">
        <v>31</v>
      </c>
      <c r="H49" t="s">
        <v>6</v>
      </c>
      <c r="I49" t="s">
        <v>106</v>
      </c>
      <c r="J49" t="s">
        <v>83</v>
      </c>
      <c r="K49" s="3">
        <f>91-8888888888</f>
        <v>-8888888797</v>
      </c>
      <c r="L49" t="s">
        <v>110</v>
      </c>
      <c r="M49">
        <v>3108</v>
      </c>
    </row>
    <row r="50" spans="5:13" x14ac:dyDescent="0.3">
      <c r="E50">
        <v>46</v>
      </c>
      <c r="F50" t="s">
        <v>153</v>
      </c>
      <c r="G50">
        <v>27</v>
      </c>
      <c r="H50" t="s">
        <v>9</v>
      </c>
      <c r="I50" t="s">
        <v>103</v>
      </c>
      <c r="J50" t="s">
        <v>84</v>
      </c>
      <c r="K50" s="3">
        <f>91-7777777777</f>
        <v>-7777777686</v>
      </c>
      <c r="L50" t="s">
        <v>85</v>
      </c>
      <c r="M50">
        <v>20205</v>
      </c>
    </row>
    <row r="51" spans="5:13" x14ac:dyDescent="0.3">
      <c r="E51">
        <v>47</v>
      </c>
      <c r="F51" t="s">
        <v>154</v>
      </c>
      <c r="G51">
        <v>29</v>
      </c>
      <c r="H51" t="s">
        <v>6</v>
      </c>
      <c r="I51" t="s">
        <v>103</v>
      </c>
      <c r="J51" t="s">
        <v>86</v>
      </c>
      <c r="L51" t="s">
        <v>87</v>
      </c>
      <c r="M51">
        <v>8746</v>
      </c>
    </row>
    <row r="52" spans="5:13" x14ac:dyDescent="0.3">
      <c r="E52">
        <v>48</v>
      </c>
      <c r="F52" t="s">
        <v>155</v>
      </c>
      <c r="G52">
        <v>32</v>
      </c>
      <c r="H52" t="s">
        <v>9</v>
      </c>
      <c r="I52" t="s">
        <v>108</v>
      </c>
      <c r="J52" t="s">
        <v>88</v>
      </c>
      <c r="K52" s="3">
        <f>91-6666666666</f>
        <v>-6666666575</v>
      </c>
      <c r="L52" t="s">
        <v>89</v>
      </c>
      <c r="M52">
        <v>15531</v>
      </c>
    </row>
    <row r="53" spans="5:13" x14ac:dyDescent="0.3">
      <c r="E53">
        <v>49</v>
      </c>
      <c r="F53" t="s">
        <v>156</v>
      </c>
      <c r="G53">
        <v>29.5</v>
      </c>
      <c r="H53" t="s">
        <v>6</v>
      </c>
      <c r="I53" t="s">
        <v>102</v>
      </c>
      <c r="J53" t="s">
        <v>90</v>
      </c>
      <c r="K53" s="3">
        <f>91-5555555555</f>
        <v>-5555555464</v>
      </c>
      <c r="L53" t="s">
        <v>91</v>
      </c>
      <c r="M53">
        <v>23055</v>
      </c>
    </row>
    <row r="54" spans="5:13" x14ac:dyDescent="0.3">
      <c r="E54">
        <v>50</v>
      </c>
      <c r="F54" t="s">
        <v>157</v>
      </c>
      <c r="G54">
        <v>30</v>
      </c>
      <c r="H54" t="s">
        <v>9</v>
      </c>
      <c r="I54" t="s">
        <v>102</v>
      </c>
      <c r="J54" t="s">
        <v>92</v>
      </c>
      <c r="L54" t="s">
        <v>93</v>
      </c>
      <c r="M54">
        <v>18647</v>
      </c>
    </row>
  </sheetData>
  <conditionalFormatting sqref="M1:M1048576">
    <cfRule type="top10" dxfId="3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Asus</cp:lastModifiedBy>
  <dcterms:created xsi:type="dcterms:W3CDTF">2023-04-26T07:21:03Z</dcterms:created>
  <dcterms:modified xsi:type="dcterms:W3CDTF">2023-04-30T05:48:16Z</dcterms:modified>
</cp:coreProperties>
</file>